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30084\RP\racunalniski-praktikum\10-razpredelnice\"/>
    </mc:Choice>
  </mc:AlternateContent>
  <xr:revisionPtr revIDLastSave="0" documentId="13_ncr:1_{01562DEB-412E-4A58-8E48-43E4C0B3631C}" xr6:coauthVersionLast="47" xr6:coauthVersionMax="47" xr10:uidLastSave="{00000000-0000-0000-0000-000000000000}"/>
  <bookViews>
    <workbookView xWindow="1950" yWindow="1950" windowWidth="16560" windowHeight="11295" xr2:uid="{00000000-000D-0000-FFFF-FFFF00000000}"/>
  </bookViews>
  <sheets>
    <sheet name="Točkovanj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15" i="1" l="1"/>
  <c r="W12" i="1"/>
  <c r="W14" i="1"/>
  <c r="W8" i="1"/>
  <c r="W11" i="1"/>
  <c r="W7" i="1"/>
  <c r="W13" i="1"/>
  <c r="W16" i="1"/>
  <c r="W6" i="1"/>
  <c r="W19" i="1"/>
  <c r="W18" i="1"/>
  <c r="W10" i="1"/>
  <c r="W17" i="1"/>
  <c r="W9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E43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E2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E14" i="1"/>
  <c r="D45" i="1"/>
  <c r="C45" i="1"/>
  <c r="D43" i="1"/>
  <c r="C43" i="1"/>
  <c r="D24" i="1"/>
  <c r="C24" i="1"/>
  <c r="D14" i="1"/>
  <c r="C14" i="1"/>
</calcChain>
</file>

<file path=xl/sharedStrings.xml><?xml version="1.0" encoding="utf-8"?>
<sst xmlns="http://schemas.openxmlformats.org/spreadsheetml/2006/main" count="473" uniqueCount="72">
  <si>
    <t>+</t>
  </si>
  <si>
    <t>o</t>
  </si>
  <si>
    <t>Mekinda</t>
  </si>
  <si>
    <t>Moškun</t>
  </si>
  <si>
    <t>Plaznik</t>
  </si>
  <si>
    <t>Rožej</t>
  </si>
  <si>
    <t>Šešek</t>
  </si>
  <si>
    <t>Obrez</t>
  </si>
  <si>
    <t>Petrič</t>
  </si>
  <si>
    <t>Ramovš</t>
  </si>
  <si>
    <t>Škraba</t>
  </si>
  <si>
    <t>Saša</t>
  </si>
  <si>
    <t>Polona</t>
  </si>
  <si>
    <t>Nina</t>
  </si>
  <si>
    <t>Nataša</t>
  </si>
  <si>
    <t>Mitja</t>
  </si>
  <si>
    <t>Mateja</t>
  </si>
  <si>
    <t>Kristina</t>
  </si>
  <si>
    <t>Bernard</t>
  </si>
  <si>
    <t>Andrej</t>
  </si>
  <si>
    <t>Slika</t>
  </si>
  <si>
    <t>velikost 8x6</t>
  </si>
  <si>
    <t>pravokotnik</t>
  </si>
  <si>
    <t>besedilo</t>
  </si>
  <si>
    <t>luknje</t>
  </si>
  <si>
    <t>krog</t>
  </si>
  <si>
    <t>pobarvan</t>
  </si>
  <si>
    <t>elipse</t>
  </si>
  <si>
    <t>pobarvane</t>
  </si>
  <si>
    <t>prekrivanje</t>
  </si>
  <si>
    <t>Tabela</t>
  </si>
  <si>
    <t>debeli rob</t>
  </si>
  <si>
    <t>črtkan rob</t>
  </si>
  <si>
    <t>vodoraven rob</t>
  </si>
  <si>
    <t>2. stolpec center</t>
  </si>
  <si>
    <t>tabela center</t>
  </si>
  <si>
    <t>sivine</t>
  </si>
  <si>
    <t>velikost tabele</t>
  </si>
  <si>
    <t>Oblikovanje</t>
  </si>
  <si>
    <t>naslov</t>
  </si>
  <si>
    <t>stolpci</t>
  </si>
  <si>
    <t>nagnjeno</t>
  </si>
  <si>
    <t>krepko</t>
  </si>
  <si>
    <t>podčrtano …</t>
  </si>
  <si>
    <t>poravnano</t>
  </si>
  <si>
    <t>podčrtano vvv</t>
  </si>
  <si>
    <t>veliki N</t>
  </si>
  <si>
    <t>krepko …</t>
  </si>
  <si>
    <t>4 cm</t>
  </si>
  <si>
    <t>2 cm</t>
  </si>
  <si>
    <t>1.5 x</t>
  </si>
  <si>
    <t>Arial</t>
  </si>
  <si>
    <t>besede</t>
  </si>
  <si>
    <t>male velike</t>
  </si>
  <si>
    <t>slika</t>
  </si>
  <si>
    <t>razmiki</t>
  </si>
  <si>
    <t>Skupaj:</t>
  </si>
  <si>
    <t>Strojan</t>
  </si>
  <si>
    <t>Jelen</t>
  </si>
  <si>
    <t>Slavica</t>
  </si>
  <si>
    <t>Kerčmar</t>
  </si>
  <si>
    <t>Brišnik</t>
  </si>
  <si>
    <t>Matej</t>
  </si>
  <si>
    <t>Medved</t>
  </si>
  <si>
    <t>Gorazd</t>
  </si>
  <si>
    <t>Miha</t>
  </si>
  <si>
    <t>Katarina</t>
  </si>
  <si>
    <t>Rezultati testa</t>
  </si>
  <si>
    <t>Ime</t>
  </si>
  <si>
    <t>Priimek</t>
  </si>
  <si>
    <t>Točke</t>
  </si>
  <si>
    <t>Ocena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</si>
</sst>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18" fillId="0" borderId="0" xfId="0" applyFont="1"/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W45"/>
  <sheetViews>
    <sheetView tabSelected="1" topLeftCell="B1" zoomScale="130" zoomScaleNormal="130" workbookViewId="0">
      <selection activeCell="W3" sqref="W3"/>
    </sheetView>
  </sheetViews>
  <sheetFormatPr defaultColWidth="8.85546875" defaultRowHeight="15" x14ac:dyDescent="0.25"/>
  <cols>
    <col min="1" max="1" width="3.140625" customWidth="1"/>
    <col min="2" max="2" width="15.7109375" bestFit="1" customWidth="1"/>
    <col min="3" max="4" width="4.7109375" style="2" customWidth="1"/>
    <col min="5" max="18" width="3.42578125" style="2" bestFit="1" customWidth="1"/>
    <col min="19" max="19" width="3.28515625" customWidth="1"/>
  </cols>
  <sheetData>
    <row r="2" spans="2:23" ht="45.75" x14ac:dyDescent="0.25">
      <c r="D2" s="1"/>
      <c r="E2" s="3" t="s">
        <v>61</v>
      </c>
      <c r="F2" s="3" t="s">
        <v>58</v>
      </c>
      <c r="G2" s="3" t="s">
        <v>60</v>
      </c>
      <c r="H2" s="3" t="s">
        <v>63</v>
      </c>
      <c r="I2" s="3" t="s">
        <v>2</v>
      </c>
      <c r="J2" s="3" t="s">
        <v>3</v>
      </c>
      <c r="K2" s="3" t="s">
        <v>7</v>
      </c>
      <c r="L2" s="3" t="s">
        <v>8</v>
      </c>
      <c r="M2" s="3" t="s">
        <v>4</v>
      </c>
      <c r="N2" s="3" t="s">
        <v>9</v>
      </c>
      <c r="O2" s="3" t="s">
        <v>5</v>
      </c>
      <c r="P2" s="3" t="s">
        <v>6</v>
      </c>
      <c r="Q2" s="3" t="s">
        <v>10</v>
      </c>
      <c r="R2" s="3" t="s">
        <v>57</v>
      </c>
    </row>
    <row r="3" spans="2:23" ht="43.5" x14ac:dyDescent="0.25">
      <c r="C3" s="2" t="s">
        <v>0</v>
      </c>
      <c r="D3" s="1" t="s">
        <v>1</v>
      </c>
      <c r="E3" s="3" t="s">
        <v>17</v>
      </c>
      <c r="F3" s="3" t="s">
        <v>59</v>
      </c>
      <c r="G3" s="3" t="s">
        <v>11</v>
      </c>
      <c r="H3" s="3" t="s">
        <v>16</v>
      </c>
      <c r="I3" s="3" t="s">
        <v>13</v>
      </c>
      <c r="J3" s="3" t="s">
        <v>12</v>
      </c>
      <c r="K3" s="3" t="s">
        <v>66</v>
      </c>
      <c r="L3" s="3" t="s">
        <v>64</v>
      </c>
      <c r="M3" s="3" t="s">
        <v>62</v>
      </c>
      <c r="N3" s="3" t="s">
        <v>19</v>
      </c>
      <c r="O3" s="3" t="s">
        <v>15</v>
      </c>
      <c r="P3" s="3" t="s">
        <v>65</v>
      </c>
      <c r="Q3" s="3" t="s">
        <v>18</v>
      </c>
      <c r="R3" s="3" t="s">
        <v>14</v>
      </c>
    </row>
    <row r="4" spans="2:23" ht="26.25" x14ac:dyDescent="0.4">
      <c r="B4" s="4" t="s">
        <v>20</v>
      </c>
      <c r="D4" s="1"/>
      <c r="T4" s="8" t="s">
        <v>67</v>
      </c>
      <c r="U4" s="8"/>
      <c r="V4" s="8"/>
      <c r="W4" s="8"/>
    </row>
    <row r="5" spans="2:23" x14ac:dyDescent="0.25">
      <c r="B5" t="s">
        <v>21</v>
      </c>
      <c r="C5" s="2">
        <v>4</v>
      </c>
      <c r="D5" s="1">
        <v>2</v>
      </c>
      <c r="G5" s="2" t="s">
        <v>0</v>
      </c>
      <c r="H5" s="2" t="s">
        <v>0</v>
      </c>
      <c r="I5" s="2" t="s">
        <v>0</v>
      </c>
      <c r="J5" s="2" t="s">
        <v>0</v>
      </c>
      <c r="K5" s="2" t="s">
        <v>0</v>
      </c>
      <c r="L5" s="2" t="s">
        <v>0</v>
      </c>
      <c r="N5" s="2" t="s">
        <v>0</v>
      </c>
      <c r="O5" s="2" t="s">
        <v>0</v>
      </c>
      <c r="P5" s="2" t="s">
        <v>1</v>
      </c>
      <c r="T5" s="7" t="s">
        <v>69</v>
      </c>
      <c r="U5" s="7" t="s">
        <v>68</v>
      </c>
      <c r="V5" s="7" t="s">
        <v>70</v>
      </c>
      <c r="W5" s="7" t="s">
        <v>71</v>
      </c>
    </row>
    <row r="6" spans="2:23" x14ac:dyDescent="0.25">
      <c r="B6" t="s">
        <v>22</v>
      </c>
      <c r="C6" s="2">
        <v>2</v>
      </c>
      <c r="D6" s="1">
        <v>1</v>
      </c>
      <c r="E6" s="2" t="s">
        <v>0</v>
      </c>
      <c r="G6" s="2" t="s">
        <v>0</v>
      </c>
      <c r="I6" s="2" t="s">
        <v>0</v>
      </c>
      <c r="J6" s="2" t="s">
        <v>0</v>
      </c>
      <c r="K6" s="2" t="s">
        <v>0</v>
      </c>
      <c r="L6" s="2" t="s">
        <v>0</v>
      </c>
      <c r="N6" s="2" t="s">
        <v>0</v>
      </c>
      <c r="Q6" s="2" t="s">
        <v>0</v>
      </c>
      <c r="T6" t="s">
        <v>9</v>
      </c>
      <c r="U6" t="s">
        <v>19</v>
      </c>
      <c r="V6">
        <v>94</v>
      </c>
      <c r="W6">
        <f>IF(V6&lt;50,"",MIN(TRUNC(V6/10)+1,10))</f>
        <v>10</v>
      </c>
    </row>
    <row r="7" spans="2:23" x14ac:dyDescent="0.25">
      <c r="B7" t="s">
        <v>23</v>
      </c>
      <c r="C7" s="2">
        <v>2</v>
      </c>
      <c r="D7" s="1">
        <v>1</v>
      </c>
      <c r="E7" s="2" t="s">
        <v>0</v>
      </c>
      <c r="G7" s="2" t="s">
        <v>1</v>
      </c>
      <c r="I7" s="2" t="s">
        <v>0</v>
      </c>
      <c r="J7" s="2" t="s">
        <v>1</v>
      </c>
      <c r="K7" s="2" t="s">
        <v>0</v>
      </c>
      <c r="L7" s="2" t="s">
        <v>0</v>
      </c>
      <c r="N7" s="2" t="s">
        <v>0</v>
      </c>
      <c r="O7" s="2" t="s">
        <v>0</v>
      </c>
      <c r="Q7" s="2" t="s">
        <v>0</v>
      </c>
      <c r="T7" t="s">
        <v>7</v>
      </c>
      <c r="U7" t="s">
        <v>66</v>
      </c>
      <c r="V7">
        <v>92</v>
      </c>
      <c r="W7">
        <f>IF(V7&lt;50,"",MIN(TRUNC(V7/10)+1,10))</f>
        <v>10</v>
      </c>
    </row>
    <row r="8" spans="2:23" x14ac:dyDescent="0.25">
      <c r="B8" t="s">
        <v>24</v>
      </c>
      <c r="C8" s="2">
        <v>3</v>
      </c>
      <c r="D8" s="1">
        <v>1</v>
      </c>
      <c r="E8" s="2" t="s">
        <v>0</v>
      </c>
      <c r="G8" s="2" t="s">
        <v>0</v>
      </c>
      <c r="I8" s="2" t="s">
        <v>0</v>
      </c>
      <c r="K8" s="2" t="s">
        <v>0</v>
      </c>
      <c r="L8" s="2" t="s">
        <v>0</v>
      </c>
      <c r="N8" s="2" t="s">
        <v>0</v>
      </c>
      <c r="Q8" s="2" t="s">
        <v>0</v>
      </c>
      <c r="T8" t="s">
        <v>2</v>
      </c>
      <c r="U8" t="s">
        <v>13</v>
      </c>
      <c r="V8">
        <v>87</v>
      </c>
      <c r="W8">
        <f>IF(V8&lt;50,"",MIN(TRUNC(V8/10)+1,10))</f>
        <v>9</v>
      </c>
    </row>
    <row r="9" spans="2:23" x14ac:dyDescent="0.25">
      <c r="B9" t="s">
        <v>25</v>
      </c>
      <c r="C9" s="2">
        <v>2</v>
      </c>
      <c r="D9" s="1">
        <v>1</v>
      </c>
      <c r="E9" s="2" t="s">
        <v>1</v>
      </c>
      <c r="G9" s="2" t="s">
        <v>0</v>
      </c>
      <c r="I9" s="2" t="s">
        <v>0</v>
      </c>
      <c r="J9" s="2" t="s">
        <v>1</v>
      </c>
      <c r="K9" s="2" t="s">
        <v>0</v>
      </c>
      <c r="L9" s="2" t="s">
        <v>0</v>
      </c>
      <c r="M9" s="2" t="s">
        <v>0</v>
      </c>
      <c r="N9" s="2" t="s">
        <v>0</v>
      </c>
      <c r="O9" s="2" t="s">
        <v>1</v>
      </c>
      <c r="P9" s="2" t="s">
        <v>0</v>
      </c>
      <c r="Q9" s="2" t="s">
        <v>1</v>
      </c>
      <c r="T9" t="s">
        <v>61</v>
      </c>
      <c r="U9" t="s">
        <v>17</v>
      </c>
      <c r="V9">
        <v>84</v>
      </c>
      <c r="W9">
        <f>IF(V9&lt;50,"",MIN(TRUNC(V9/10)+1,10))</f>
        <v>9</v>
      </c>
    </row>
    <row r="10" spans="2:23" x14ac:dyDescent="0.25">
      <c r="B10" t="s">
        <v>26</v>
      </c>
      <c r="C10" s="2">
        <v>2</v>
      </c>
      <c r="D10" s="1">
        <v>1</v>
      </c>
      <c r="E10" s="2" t="s">
        <v>1</v>
      </c>
      <c r="I10" s="2" t="s">
        <v>0</v>
      </c>
      <c r="J10" s="2" t="s">
        <v>0</v>
      </c>
      <c r="K10" s="2" t="s">
        <v>0</v>
      </c>
      <c r="L10" s="2" t="s">
        <v>0</v>
      </c>
      <c r="M10" s="2" t="s">
        <v>0</v>
      </c>
      <c r="N10" s="2" t="s">
        <v>0</v>
      </c>
      <c r="O10" s="2" t="s">
        <v>1</v>
      </c>
      <c r="P10" s="2" t="s">
        <v>0</v>
      </c>
      <c r="Q10" s="2" t="s">
        <v>0</v>
      </c>
      <c r="T10" t="s">
        <v>10</v>
      </c>
      <c r="U10" t="s">
        <v>18</v>
      </c>
      <c r="V10">
        <v>83</v>
      </c>
      <c r="W10">
        <f>IF(V10&lt;50,"",MIN(TRUNC(V10/10)+1,10))</f>
        <v>9</v>
      </c>
    </row>
    <row r="11" spans="2:23" x14ac:dyDescent="0.25">
      <c r="B11" t="s">
        <v>27</v>
      </c>
      <c r="C11" s="2">
        <v>6</v>
      </c>
      <c r="D11" s="1">
        <v>3</v>
      </c>
      <c r="E11" s="2" t="s">
        <v>1</v>
      </c>
      <c r="I11" s="2" t="s">
        <v>1</v>
      </c>
      <c r="J11" s="2" t="s">
        <v>1</v>
      </c>
      <c r="K11" s="2" t="s">
        <v>1</v>
      </c>
      <c r="L11" s="2" t="s">
        <v>1</v>
      </c>
      <c r="N11" s="2" t="s">
        <v>0</v>
      </c>
      <c r="O11" s="2" t="s">
        <v>1</v>
      </c>
      <c r="Q11" s="2" t="s">
        <v>1</v>
      </c>
      <c r="T11" t="s">
        <v>3</v>
      </c>
      <c r="U11" t="s">
        <v>12</v>
      </c>
      <c r="V11">
        <v>78</v>
      </c>
      <c r="W11">
        <f>IF(V11&lt;50,"",MIN(TRUNC(V11/10)+1,10))</f>
        <v>8</v>
      </c>
    </row>
    <row r="12" spans="2:23" x14ac:dyDescent="0.25">
      <c r="B12" t="s">
        <v>28</v>
      </c>
      <c r="C12" s="2">
        <v>3</v>
      </c>
      <c r="D12" s="1">
        <v>2</v>
      </c>
      <c r="E12" s="2" t="s">
        <v>1</v>
      </c>
      <c r="I12" s="2" t="s">
        <v>0</v>
      </c>
      <c r="J12" s="2" t="s">
        <v>0</v>
      </c>
      <c r="K12" s="2" t="s">
        <v>0</v>
      </c>
      <c r="L12" s="2" t="s">
        <v>0</v>
      </c>
      <c r="M12" s="2" t="s">
        <v>1</v>
      </c>
      <c r="N12" s="2" t="s">
        <v>0</v>
      </c>
      <c r="P12" s="2" t="s">
        <v>1</v>
      </c>
      <c r="Q12" s="2" t="s">
        <v>0</v>
      </c>
      <c r="T12" t="s">
        <v>60</v>
      </c>
      <c r="U12" t="s">
        <v>11</v>
      </c>
      <c r="V12">
        <v>70</v>
      </c>
      <c r="W12">
        <f>IF(V12&lt;50,"",MIN(TRUNC(V12/10)+1,10))</f>
        <v>8</v>
      </c>
    </row>
    <row r="13" spans="2:23" x14ac:dyDescent="0.25">
      <c r="B13" t="s">
        <v>29</v>
      </c>
      <c r="C13" s="2">
        <v>4</v>
      </c>
      <c r="D13" s="1">
        <v>2</v>
      </c>
      <c r="E13" s="2" t="s">
        <v>0</v>
      </c>
      <c r="I13" s="2" t="s">
        <v>1</v>
      </c>
      <c r="J13" s="2" t="s">
        <v>1</v>
      </c>
      <c r="K13" s="2" t="s">
        <v>1</v>
      </c>
      <c r="L13" s="2" t="s">
        <v>1</v>
      </c>
      <c r="N13" s="2" t="s">
        <v>0</v>
      </c>
      <c r="P13" s="2" t="s">
        <v>1</v>
      </c>
      <c r="Q13" s="2" t="s">
        <v>0</v>
      </c>
      <c r="T13" t="s">
        <v>8</v>
      </c>
      <c r="U13" t="s">
        <v>64</v>
      </c>
      <c r="V13">
        <v>69</v>
      </c>
      <c r="W13">
        <f>IF(V13&lt;50,"",MIN(TRUNC(V13/10)+1,10))</f>
        <v>7</v>
      </c>
    </row>
    <row r="14" spans="2:23" x14ac:dyDescent="0.25">
      <c r="C14" s="6">
        <f>SUM(C5:C13)</f>
        <v>28</v>
      </c>
      <c r="D14" s="6">
        <f>SUM(D5:D13)</f>
        <v>14</v>
      </c>
      <c r="E14" s="6">
        <f>SUMIF(E5:E13,$C$3,$C5:$C13)+SUMIF(E5:E13,$D$3,$D5:$D13)</f>
        <v>18</v>
      </c>
      <c r="F14" s="6">
        <f t="shared" ref="F14:R14" si="0">SUMIF(F5:F13,$C$3,$C5:$C13)+SUMIF(F5:F13,$D$3,$D5:$D13)</f>
        <v>0</v>
      </c>
      <c r="G14" s="6">
        <f t="shared" si="0"/>
        <v>12</v>
      </c>
      <c r="H14" s="6">
        <f t="shared" si="0"/>
        <v>4</v>
      </c>
      <c r="I14" s="6">
        <f t="shared" si="0"/>
        <v>23</v>
      </c>
      <c r="J14" s="6">
        <f t="shared" si="0"/>
        <v>18</v>
      </c>
      <c r="K14" s="6">
        <f t="shared" si="0"/>
        <v>23</v>
      </c>
      <c r="L14" s="6">
        <f t="shared" si="0"/>
        <v>23</v>
      </c>
      <c r="M14" s="6">
        <f t="shared" si="0"/>
        <v>6</v>
      </c>
      <c r="N14" s="6">
        <f t="shared" si="0"/>
        <v>28</v>
      </c>
      <c r="O14" s="6">
        <f t="shared" si="0"/>
        <v>11</v>
      </c>
      <c r="P14" s="6">
        <f t="shared" si="0"/>
        <v>10</v>
      </c>
      <c r="Q14" s="6">
        <f t="shared" si="0"/>
        <v>20</v>
      </c>
      <c r="R14" s="6">
        <f t="shared" si="0"/>
        <v>0</v>
      </c>
      <c r="T14" t="s">
        <v>63</v>
      </c>
      <c r="U14" t="s">
        <v>16</v>
      </c>
      <c r="V14">
        <v>61</v>
      </c>
      <c r="W14">
        <f>IF(V14&lt;50,"",MIN(TRUNC(V14/10)+1,10))</f>
        <v>7</v>
      </c>
    </row>
    <row r="15" spans="2:23" x14ac:dyDescent="0.25">
      <c r="B15" s="4" t="s">
        <v>30</v>
      </c>
      <c r="D15" s="1"/>
      <c r="T15" t="s">
        <v>58</v>
      </c>
      <c r="U15" t="s">
        <v>59</v>
      </c>
      <c r="V15">
        <v>55</v>
      </c>
      <c r="W15">
        <f>IF(V15&lt;50,"",MIN(TRUNC(V15/10)+1,10))</f>
        <v>6</v>
      </c>
    </row>
    <row r="16" spans="2:23" x14ac:dyDescent="0.25">
      <c r="B16" t="s">
        <v>31</v>
      </c>
      <c r="C16" s="2">
        <v>2</v>
      </c>
      <c r="D16" s="1">
        <v>1</v>
      </c>
      <c r="E16" s="2" t="s">
        <v>0</v>
      </c>
      <c r="F16" s="2" t="s">
        <v>0</v>
      </c>
      <c r="G16" s="2" t="s">
        <v>0</v>
      </c>
      <c r="H16" s="2" t="s">
        <v>0</v>
      </c>
      <c r="I16" s="2" t="s">
        <v>0</v>
      </c>
      <c r="J16" s="2" t="s">
        <v>0</v>
      </c>
      <c r="K16" s="2" t="s">
        <v>0</v>
      </c>
      <c r="L16" s="2" t="s">
        <v>0</v>
      </c>
      <c r="M16" s="2" t="s">
        <v>1</v>
      </c>
      <c r="N16" s="2" t="s">
        <v>0</v>
      </c>
      <c r="P16" s="2" t="s">
        <v>0</v>
      </c>
      <c r="Q16" s="2" t="s">
        <v>0</v>
      </c>
      <c r="R16" s="2" t="s">
        <v>0</v>
      </c>
      <c r="T16" t="s">
        <v>4</v>
      </c>
      <c r="U16" t="s">
        <v>62</v>
      </c>
      <c r="V16">
        <v>54</v>
      </c>
      <c r="W16">
        <f>IF(V16&lt;50,"",MIN(TRUNC(V16/10)+1,10))</f>
        <v>6</v>
      </c>
    </row>
    <row r="17" spans="2:23" x14ac:dyDescent="0.25">
      <c r="B17" t="s">
        <v>32</v>
      </c>
      <c r="C17" s="2">
        <v>3</v>
      </c>
      <c r="D17" s="1">
        <v>2</v>
      </c>
      <c r="E17" s="2" t="s">
        <v>1</v>
      </c>
      <c r="F17" s="2" t="s">
        <v>0</v>
      </c>
      <c r="G17" s="2" t="s">
        <v>1</v>
      </c>
      <c r="H17" s="2" t="s">
        <v>0</v>
      </c>
      <c r="I17" s="2" t="s">
        <v>0</v>
      </c>
      <c r="J17" s="2" t="s">
        <v>0</v>
      </c>
      <c r="K17" s="2" t="s">
        <v>0</v>
      </c>
      <c r="L17" s="2" t="s">
        <v>1</v>
      </c>
      <c r="N17" s="2" t="s">
        <v>0</v>
      </c>
      <c r="P17" s="2" t="s">
        <v>0</v>
      </c>
      <c r="Q17" s="2" t="s">
        <v>0</v>
      </c>
      <c r="R17" s="2" t="s">
        <v>0</v>
      </c>
      <c r="T17" t="s">
        <v>57</v>
      </c>
      <c r="U17" t="s">
        <v>14</v>
      </c>
      <c r="V17">
        <v>54</v>
      </c>
      <c r="W17">
        <f>IF(V17&lt;50,"",MIN(TRUNC(V17/10)+1,10))</f>
        <v>6</v>
      </c>
    </row>
    <row r="18" spans="2:23" x14ac:dyDescent="0.25">
      <c r="B18" t="s">
        <v>33</v>
      </c>
      <c r="C18" s="2">
        <v>2</v>
      </c>
      <c r="D18" s="1">
        <v>1</v>
      </c>
      <c r="E18" s="2" t="s">
        <v>0</v>
      </c>
      <c r="F18" s="2" t="s">
        <v>0</v>
      </c>
      <c r="G18" s="2" t="s">
        <v>0</v>
      </c>
      <c r="H18" s="2" t="s">
        <v>0</v>
      </c>
      <c r="I18" s="2" t="s">
        <v>0</v>
      </c>
      <c r="J18" s="2" t="s">
        <v>0</v>
      </c>
      <c r="K18" s="2" t="s">
        <v>0</v>
      </c>
      <c r="L18" s="2" t="s">
        <v>0</v>
      </c>
      <c r="M18" s="2" t="s">
        <v>0</v>
      </c>
      <c r="N18" s="2" t="s">
        <v>0</v>
      </c>
      <c r="O18" s="2" t="s">
        <v>0</v>
      </c>
      <c r="P18" s="2" t="s">
        <v>1</v>
      </c>
      <c r="Q18" s="2" t="s">
        <v>0</v>
      </c>
      <c r="T18" t="s">
        <v>6</v>
      </c>
      <c r="U18" t="s">
        <v>65</v>
      </c>
      <c r="V18">
        <v>42</v>
      </c>
      <c r="W18" t="str">
        <f>IF(V18&lt;50,"",MIN(TRUNC(V18/10)+1,10))</f>
        <v/>
      </c>
    </row>
    <row r="19" spans="2:23" x14ac:dyDescent="0.25">
      <c r="B19" t="s">
        <v>23</v>
      </c>
      <c r="C19" s="2">
        <v>4</v>
      </c>
      <c r="D19" s="1">
        <v>2</v>
      </c>
      <c r="E19" s="2" t="s">
        <v>0</v>
      </c>
      <c r="F19" s="2" t="s">
        <v>0</v>
      </c>
      <c r="G19" s="2" t="s">
        <v>0</v>
      </c>
      <c r="H19" s="2" t="s">
        <v>0</v>
      </c>
      <c r="I19" s="2" t="s">
        <v>0</v>
      </c>
      <c r="J19" s="2" t="s">
        <v>0</v>
      </c>
      <c r="K19" s="2" t="s">
        <v>0</v>
      </c>
      <c r="L19" s="2" t="s">
        <v>0</v>
      </c>
      <c r="M19" s="2" t="s">
        <v>0</v>
      </c>
      <c r="N19" s="2" t="s">
        <v>0</v>
      </c>
      <c r="O19" s="2" t="s">
        <v>0</v>
      </c>
      <c r="P19" s="2" t="s">
        <v>1</v>
      </c>
      <c r="Q19" s="2" t="s">
        <v>0</v>
      </c>
      <c r="R19" s="2" t="s">
        <v>0</v>
      </c>
      <c r="T19" t="s">
        <v>5</v>
      </c>
      <c r="U19" t="s">
        <v>15</v>
      </c>
      <c r="V19">
        <v>38</v>
      </c>
      <c r="W19" t="str">
        <f>IF(V19&lt;50,"",MIN(TRUNC(V19/10)+1,10))</f>
        <v/>
      </c>
    </row>
    <row r="20" spans="2:23" x14ac:dyDescent="0.25">
      <c r="B20" t="s">
        <v>34</v>
      </c>
      <c r="C20" s="2">
        <v>3</v>
      </c>
      <c r="D20" s="1">
        <v>1</v>
      </c>
      <c r="E20" s="2" t="s">
        <v>0</v>
      </c>
      <c r="F20" s="2" t="s">
        <v>0</v>
      </c>
      <c r="G20" s="2" t="s">
        <v>0</v>
      </c>
      <c r="H20" s="2" t="s">
        <v>0</v>
      </c>
      <c r="I20" s="2" t="s">
        <v>0</v>
      </c>
      <c r="J20" s="2" t="s">
        <v>1</v>
      </c>
      <c r="K20" s="2" t="s">
        <v>0</v>
      </c>
      <c r="M20" s="2" t="s">
        <v>0</v>
      </c>
      <c r="N20" s="2" t="s">
        <v>0</v>
      </c>
      <c r="O20" s="2" t="s">
        <v>1</v>
      </c>
      <c r="P20" s="2" t="s">
        <v>0</v>
      </c>
      <c r="Q20" s="2" t="s">
        <v>0</v>
      </c>
      <c r="R20" s="2" t="s">
        <v>0</v>
      </c>
    </row>
    <row r="21" spans="2:23" x14ac:dyDescent="0.25">
      <c r="B21" t="s">
        <v>35</v>
      </c>
      <c r="C21" s="2">
        <v>5</v>
      </c>
      <c r="D21" s="1">
        <v>2</v>
      </c>
      <c r="E21" s="2" t="s">
        <v>0</v>
      </c>
      <c r="F21" s="2" t="s">
        <v>0</v>
      </c>
      <c r="G21" s="2" t="s">
        <v>0</v>
      </c>
      <c r="H21" s="2" t="s">
        <v>0</v>
      </c>
      <c r="I21" s="2" t="s">
        <v>0</v>
      </c>
      <c r="J21" s="2" t="s">
        <v>0</v>
      </c>
      <c r="K21" s="2" t="s">
        <v>0</v>
      </c>
      <c r="L21" s="2" t="s">
        <v>0</v>
      </c>
      <c r="M21" s="2" t="s">
        <v>0</v>
      </c>
      <c r="N21" s="2" t="s">
        <v>0</v>
      </c>
      <c r="O21" s="2" t="s">
        <v>1</v>
      </c>
      <c r="Q21" s="2" t="s">
        <v>0</v>
      </c>
    </row>
    <row r="22" spans="2:23" x14ac:dyDescent="0.25">
      <c r="B22" t="s">
        <v>36</v>
      </c>
      <c r="C22" s="2">
        <v>5</v>
      </c>
      <c r="D22" s="1">
        <v>3</v>
      </c>
      <c r="E22" s="2" t="s">
        <v>0</v>
      </c>
      <c r="F22" s="2" t="s">
        <v>0</v>
      </c>
      <c r="G22" s="2" t="s">
        <v>0</v>
      </c>
      <c r="I22" s="2" t="s">
        <v>0</v>
      </c>
      <c r="J22" s="2" t="s">
        <v>0</v>
      </c>
      <c r="K22" s="2" t="s">
        <v>0</v>
      </c>
      <c r="L22" s="2" t="s">
        <v>0</v>
      </c>
      <c r="N22" s="2" t="s">
        <v>0</v>
      </c>
      <c r="P22" s="2" t="s">
        <v>0</v>
      </c>
      <c r="Q22" s="2" t="s">
        <v>0</v>
      </c>
      <c r="R22" s="2" t="s">
        <v>0</v>
      </c>
    </row>
    <row r="23" spans="2:23" x14ac:dyDescent="0.25">
      <c r="B23" t="s">
        <v>37</v>
      </c>
      <c r="C23" s="2">
        <v>4</v>
      </c>
      <c r="D23" s="1">
        <v>2</v>
      </c>
      <c r="E23" s="2" t="s">
        <v>1</v>
      </c>
      <c r="G23" s="2" t="s">
        <v>0</v>
      </c>
      <c r="H23" s="2" t="s">
        <v>0</v>
      </c>
      <c r="I23" s="2" t="s">
        <v>0</v>
      </c>
      <c r="J23" s="2" t="s">
        <v>1</v>
      </c>
      <c r="K23" s="2" t="s">
        <v>0</v>
      </c>
      <c r="L23" s="2" t="s">
        <v>0</v>
      </c>
      <c r="M23" s="2" t="s">
        <v>0</v>
      </c>
      <c r="N23" s="2" t="s">
        <v>0</v>
      </c>
      <c r="P23" s="2" t="s">
        <v>0</v>
      </c>
      <c r="Q23" s="2" t="s">
        <v>0</v>
      </c>
      <c r="R23" s="2" t="s">
        <v>1</v>
      </c>
    </row>
    <row r="24" spans="2:23" x14ac:dyDescent="0.25">
      <c r="C24" s="6">
        <f>SUM(C16:C23)</f>
        <v>28</v>
      </c>
      <c r="D24" s="6">
        <f>SUM(D16:D23)</f>
        <v>14</v>
      </c>
      <c r="E24" s="6">
        <f>SUMIF(E16:E23,$C$3,$C16:$C23)+SUMIF(E16:E23,$D$3,$D16:$D23)</f>
        <v>25</v>
      </c>
      <c r="F24" s="6">
        <f t="shared" ref="F24:R24" si="1">SUMIF(F16:F23,$C$3,$C16:$C23)+SUMIF(F16:F23,$D$3,$D16:$D23)</f>
        <v>24</v>
      </c>
      <c r="G24" s="6">
        <f t="shared" si="1"/>
        <v>27</v>
      </c>
      <c r="H24" s="6">
        <f t="shared" si="1"/>
        <v>23</v>
      </c>
      <c r="I24" s="6">
        <f t="shared" si="1"/>
        <v>28</v>
      </c>
      <c r="J24" s="6">
        <f t="shared" si="1"/>
        <v>24</v>
      </c>
      <c r="K24" s="6">
        <f t="shared" si="1"/>
        <v>28</v>
      </c>
      <c r="L24" s="6">
        <f t="shared" si="1"/>
        <v>24</v>
      </c>
      <c r="M24" s="6">
        <f t="shared" si="1"/>
        <v>19</v>
      </c>
      <c r="N24" s="6">
        <f t="shared" si="1"/>
        <v>28</v>
      </c>
      <c r="O24" s="6">
        <f t="shared" si="1"/>
        <v>9</v>
      </c>
      <c r="P24" s="6">
        <f t="shared" si="1"/>
        <v>20</v>
      </c>
      <c r="Q24" s="6">
        <f t="shared" si="1"/>
        <v>28</v>
      </c>
      <c r="R24" s="6">
        <f t="shared" si="1"/>
        <v>19</v>
      </c>
    </row>
    <row r="25" spans="2:23" x14ac:dyDescent="0.25">
      <c r="B25" s="4" t="s">
        <v>38</v>
      </c>
      <c r="D25" s="1"/>
    </row>
    <row r="26" spans="2:23" x14ac:dyDescent="0.25">
      <c r="B26" t="s">
        <v>39</v>
      </c>
      <c r="C26" s="2">
        <v>2</v>
      </c>
      <c r="D26" s="1">
        <v>1</v>
      </c>
      <c r="E26" s="2" t="s">
        <v>0</v>
      </c>
      <c r="F26" s="2" t="s">
        <v>0</v>
      </c>
      <c r="G26" s="2" t="s">
        <v>0</v>
      </c>
      <c r="H26" s="2" t="s">
        <v>0</v>
      </c>
      <c r="I26" s="2" t="s">
        <v>0</v>
      </c>
      <c r="J26" s="2" t="s">
        <v>0</v>
      </c>
      <c r="K26" s="2" t="s">
        <v>0</v>
      </c>
      <c r="L26" s="2" t="s">
        <v>1</v>
      </c>
      <c r="M26" s="2" t="s">
        <v>0</v>
      </c>
      <c r="N26" s="2" t="s">
        <v>0</v>
      </c>
      <c r="O26" s="2" t="s">
        <v>0</v>
      </c>
      <c r="P26" s="2" t="s">
        <v>1</v>
      </c>
      <c r="Q26" s="2" t="s">
        <v>0</v>
      </c>
      <c r="R26" s="2" t="s">
        <v>0</v>
      </c>
    </row>
    <row r="27" spans="2:23" x14ac:dyDescent="0.25">
      <c r="B27" t="s">
        <v>40</v>
      </c>
      <c r="C27" s="2">
        <v>4</v>
      </c>
      <c r="D27" s="1">
        <v>2</v>
      </c>
      <c r="E27" s="2" t="s">
        <v>0</v>
      </c>
      <c r="F27" s="2" t="s">
        <v>0</v>
      </c>
      <c r="G27" s="2" t="s">
        <v>0</v>
      </c>
      <c r="H27" s="2" t="s">
        <v>0</v>
      </c>
      <c r="I27" s="2" t="s">
        <v>0</v>
      </c>
      <c r="J27" s="2" t="s">
        <v>1</v>
      </c>
      <c r="K27" s="2" t="s">
        <v>0</v>
      </c>
      <c r="L27" s="2" t="s">
        <v>0</v>
      </c>
      <c r="M27" s="2" t="s">
        <v>0</v>
      </c>
      <c r="N27" s="2" t="s">
        <v>0</v>
      </c>
      <c r="O27" s="2" t="s">
        <v>0</v>
      </c>
      <c r="P27" s="2" t="s">
        <v>1</v>
      </c>
      <c r="Q27" s="2" t="s">
        <v>0</v>
      </c>
      <c r="R27" s="2" t="s">
        <v>0</v>
      </c>
    </row>
    <row r="28" spans="2:23" x14ac:dyDescent="0.25">
      <c r="B28" t="s">
        <v>41</v>
      </c>
      <c r="C28" s="2">
        <v>2</v>
      </c>
      <c r="D28" s="1">
        <v>1</v>
      </c>
      <c r="E28" s="2" t="s">
        <v>0</v>
      </c>
      <c r="F28" s="2" t="s">
        <v>0</v>
      </c>
      <c r="G28" s="2" t="s">
        <v>0</v>
      </c>
      <c r="H28" s="2" t="s">
        <v>0</v>
      </c>
      <c r="I28" s="2" t="s">
        <v>0</v>
      </c>
      <c r="J28" s="2" t="s">
        <v>0</v>
      </c>
      <c r="K28" s="2" t="s">
        <v>0</v>
      </c>
      <c r="L28" s="2" t="s">
        <v>0</v>
      </c>
      <c r="M28" s="2" t="s">
        <v>0</v>
      </c>
      <c r="N28" s="2" t="s">
        <v>0</v>
      </c>
      <c r="O28" s="2" t="s">
        <v>1</v>
      </c>
      <c r="P28" s="2" t="s">
        <v>0</v>
      </c>
      <c r="Q28" s="2" t="s">
        <v>0</v>
      </c>
      <c r="R28" s="2" t="s">
        <v>0</v>
      </c>
    </row>
    <row r="29" spans="2:23" x14ac:dyDescent="0.25">
      <c r="B29" t="s">
        <v>42</v>
      </c>
      <c r="C29" s="2">
        <v>2</v>
      </c>
      <c r="D29" s="1">
        <v>1</v>
      </c>
      <c r="E29" s="2" t="s">
        <v>0</v>
      </c>
      <c r="F29" s="2" t="s">
        <v>0</v>
      </c>
      <c r="G29" s="2" t="s">
        <v>0</v>
      </c>
      <c r="H29" s="2" t="s">
        <v>0</v>
      </c>
      <c r="I29" s="2" t="s">
        <v>0</v>
      </c>
      <c r="J29" s="2" t="s">
        <v>0</v>
      </c>
      <c r="K29" s="2" t="s">
        <v>0</v>
      </c>
      <c r="L29" s="2" t="s">
        <v>0</v>
      </c>
      <c r="M29" s="2" t="s">
        <v>0</v>
      </c>
      <c r="N29" s="2" t="s">
        <v>0</v>
      </c>
      <c r="O29" s="2" t="s">
        <v>1</v>
      </c>
      <c r="Q29" s="2" t="s">
        <v>0</v>
      </c>
      <c r="R29" s="2" t="s">
        <v>0</v>
      </c>
    </row>
    <row r="30" spans="2:23" x14ac:dyDescent="0.25">
      <c r="B30" t="s">
        <v>43</v>
      </c>
      <c r="C30" s="2">
        <v>2</v>
      </c>
      <c r="D30" s="1">
        <v>1</v>
      </c>
      <c r="E30" s="2" t="s">
        <v>0</v>
      </c>
      <c r="F30" s="2" t="s">
        <v>1</v>
      </c>
      <c r="H30" s="2" t="s">
        <v>0</v>
      </c>
      <c r="I30" s="2" t="s">
        <v>0</v>
      </c>
      <c r="J30" s="2" t="s">
        <v>0</v>
      </c>
      <c r="K30" s="2" t="s">
        <v>0</v>
      </c>
      <c r="L30" s="2" t="s">
        <v>1</v>
      </c>
      <c r="M30" s="2" t="s">
        <v>0</v>
      </c>
      <c r="N30" s="2" t="s">
        <v>0</v>
      </c>
      <c r="P30" s="2" t="s">
        <v>1</v>
      </c>
      <c r="Q30" s="2" t="s">
        <v>0</v>
      </c>
      <c r="R30" s="2" t="s">
        <v>0</v>
      </c>
    </row>
    <row r="31" spans="2:23" x14ac:dyDescent="0.25">
      <c r="B31" t="s">
        <v>44</v>
      </c>
      <c r="C31" s="2">
        <v>2</v>
      </c>
      <c r="D31" s="1">
        <v>1</v>
      </c>
      <c r="E31" s="2" t="s">
        <v>0</v>
      </c>
      <c r="H31" s="2" t="s">
        <v>0</v>
      </c>
      <c r="L31" s="2" t="s">
        <v>0</v>
      </c>
      <c r="M31" s="2" t="s">
        <v>0</v>
      </c>
    </row>
    <row r="32" spans="2:23" x14ac:dyDescent="0.25">
      <c r="B32" t="s">
        <v>45</v>
      </c>
      <c r="C32" s="2">
        <v>2</v>
      </c>
      <c r="D32" s="1">
        <v>1</v>
      </c>
      <c r="F32" s="2" t="s">
        <v>0</v>
      </c>
      <c r="G32" s="2" t="s">
        <v>0</v>
      </c>
      <c r="H32" s="2" t="s">
        <v>0</v>
      </c>
      <c r="I32" s="2" t="s">
        <v>0</v>
      </c>
      <c r="J32" s="2" t="s">
        <v>0</v>
      </c>
      <c r="K32" s="2" t="s">
        <v>0</v>
      </c>
      <c r="M32" s="2" t="s">
        <v>0</v>
      </c>
      <c r="N32" s="2" t="s">
        <v>0</v>
      </c>
      <c r="P32" s="2" t="s">
        <v>0</v>
      </c>
      <c r="R32" s="2" t="s">
        <v>0</v>
      </c>
    </row>
    <row r="33" spans="2:18" x14ac:dyDescent="0.25">
      <c r="B33" t="s">
        <v>46</v>
      </c>
      <c r="C33" s="2">
        <v>2</v>
      </c>
      <c r="D33" s="1">
        <v>1</v>
      </c>
      <c r="E33" s="2" t="s">
        <v>0</v>
      </c>
      <c r="F33" s="2" t="s">
        <v>0</v>
      </c>
      <c r="G33" s="2" t="s">
        <v>0</v>
      </c>
      <c r="H33" s="2" t="s">
        <v>0</v>
      </c>
      <c r="I33" s="2" t="s">
        <v>0</v>
      </c>
      <c r="J33" s="2" t="s">
        <v>0</v>
      </c>
      <c r="K33" s="2" t="s">
        <v>1</v>
      </c>
      <c r="L33" s="2" t="s">
        <v>1</v>
      </c>
      <c r="N33" s="2" t="s">
        <v>0</v>
      </c>
      <c r="Q33" s="2" t="s">
        <v>0</v>
      </c>
      <c r="R33" s="2" t="s">
        <v>0</v>
      </c>
    </row>
    <row r="34" spans="2:18" x14ac:dyDescent="0.25">
      <c r="B34" t="s">
        <v>47</v>
      </c>
      <c r="C34" s="2">
        <v>2</v>
      </c>
      <c r="D34" s="1">
        <v>1</v>
      </c>
      <c r="E34" s="2" t="s">
        <v>0</v>
      </c>
      <c r="F34" s="2" t="s">
        <v>0</v>
      </c>
      <c r="G34" s="2" t="s">
        <v>0</v>
      </c>
      <c r="H34" s="2" t="s">
        <v>1</v>
      </c>
      <c r="I34" s="2" t="s">
        <v>0</v>
      </c>
      <c r="J34" s="2" t="s">
        <v>0</v>
      </c>
      <c r="K34" s="2" t="s">
        <v>0</v>
      </c>
      <c r="L34" s="2" t="s">
        <v>0</v>
      </c>
      <c r="M34" s="2" t="s">
        <v>0</v>
      </c>
      <c r="N34" s="2" t="s">
        <v>0</v>
      </c>
      <c r="P34" s="2" t="s">
        <v>0</v>
      </c>
      <c r="Q34" s="2" t="s">
        <v>0</v>
      </c>
      <c r="R34" s="2" t="s">
        <v>0</v>
      </c>
    </row>
    <row r="35" spans="2:18" x14ac:dyDescent="0.25">
      <c r="B35" t="s">
        <v>48</v>
      </c>
      <c r="C35" s="2">
        <v>3</v>
      </c>
      <c r="D35" s="1">
        <v>1</v>
      </c>
      <c r="E35" s="2" t="s">
        <v>0</v>
      </c>
      <c r="F35" s="2" t="s">
        <v>1</v>
      </c>
      <c r="G35" s="2" t="s">
        <v>0</v>
      </c>
      <c r="H35" s="2" t="s">
        <v>1</v>
      </c>
      <c r="I35" s="2" t="s">
        <v>0</v>
      </c>
      <c r="J35" s="2" t="s">
        <v>0</v>
      </c>
      <c r="K35" s="2" t="s">
        <v>0</v>
      </c>
      <c r="L35" s="2" t="s">
        <v>1</v>
      </c>
      <c r="M35" s="2" t="s">
        <v>0</v>
      </c>
      <c r="N35" s="2" t="s">
        <v>1</v>
      </c>
      <c r="O35" s="2" t="s">
        <v>0</v>
      </c>
      <c r="Q35" s="2" t="s">
        <v>1</v>
      </c>
      <c r="R35" s="2" t="s">
        <v>0</v>
      </c>
    </row>
    <row r="36" spans="2:18" x14ac:dyDescent="0.25">
      <c r="B36" t="s">
        <v>49</v>
      </c>
      <c r="C36" s="2">
        <v>3</v>
      </c>
      <c r="D36" s="1">
        <v>2</v>
      </c>
      <c r="E36" s="2" t="s">
        <v>0</v>
      </c>
      <c r="F36" s="2" t="s">
        <v>0</v>
      </c>
      <c r="G36" s="2" t="s">
        <v>0</v>
      </c>
      <c r="H36" s="2" t="s">
        <v>0</v>
      </c>
      <c r="I36" s="2" t="s">
        <v>0</v>
      </c>
      <c r="J36" s="2" t="s">
        <v>0</v>
      </c>
      <c r="K36" s="2" t="s">
        <v>0</v>
      </c>
      <c r="L36" s="2" t="s">
        <v>0</v>
      </c>
      <c r="N36" s="2" t="s">
        <v>0</v>
      </c>
      <c r="Q36" s="2" t="s">
        <v>0</v>
      </c>
      <c r="R36" s="2" t="s">
        <v>0</v>
      </c>
    </row>
    <row r="37" spans="2:18" x14ac:dyDescent="0.25">
      <c r="B37" t="s">
        <v>50</v>
      </c>
      <c r="C37" s="2">
        <v>2</v>
      </c>
      <c r="D37" s="1">
        <v>1</v>
      </c>
      <c r="E37" s="2" t="s">
        <v>0</v>
      </c>
      <c r="H37" s="2" t="s">
        <v>0</v>
      </c>
      <c r="I37" s="2" t="s">
        <v>0</v>
      </c>
      <c r="J37" s="2" t="s">
        <v>0</v>
      </c>
      <c r="K37" s="2" t="s">
        <v>0</v>
      </c>
      <c r="N37" s="2" t="s">
        <v>0</v>
      </c>
      <c r="Q37" s="2" t="s">
        <v>0</v>
      </c>
      <c r="R37" s="2" t="s">
        <v>0</v>
      </c>
    </row>
    <row r="38" spans="2:18" x14ac:dyDescent="0.25">
      <c r="B38" t="s">
        <v>51</v>
      </c>
      <c r="C38" s="2">
        <v>2</v>
      </c>
      <c r="D38" s="1">
        <v>1</v>
      </c>
      <c r="E38" s="2" t="s">
        <v>0</v>
      </c>
      <c r="F38" s="2" t="s">
        <v>0</v>
      </c>
      <c r="G38" s="2" t="s">
        <v>0</v>
      </c>
      <c r="H38" s="2" t="s">
        <v>0</v>
      </c>
      <c r="I38" s="2" t="s">
        <v>0</v>
      </c>
      <c r="J38" s="2" t="s">
        <v>0</v>
      </c>
      <c r="K38" s="2" t="s">
        <v>0</v>
      </c>
      <c r="N38" s="2" t="s">
        <v>0</v>
      </c>
      <c r="O38" s="2" t="s">
        <v>0</v>
      </c>
      <c r="Q38" s="2" t="s">
        <v>0</v>
      </c>
      <c r="R38" s="2" t="s">
        <v>0</v>
      </c>
    </row>
    <row r="39" spans="2:18" x14ac:dyDescent="0.25">
      <c r="B39" t="s">
        <v>52</v>
      </c>
      <c r="C39" s="2">
        <v>3</v>
      </c>
      <c r="D39" s="1">
        <v>1</v>
      </c>
      <c r="E39" s="2" t="s">
        <v>0</v>
      </c>
      <c r="F39" s="2" t="s">
        <v>0</v>
      </c>
      <c r="G39" s="2" t="s">
        <v>0</v>
      </c>
      <c r="H39" s="2" t="s">
        <v>0</v>
      </c>
      <c r="I39" s="2" t="s">
        <v>0</v>
      </c>
      <c r="J39" s="2" t="s">
        <v>0</v>
      </c>
      <c r="K39" s="2" t="s">
        <v>0</v>
      </c>
      <c r="L39" s="2" t="s">
        <v>1</v>
      </c>
      <c r="M39" s="2" t="s">
        <v>1</v>
      </c>
      <c r="N39" s="2" t="s">
        <v>0</v>
      </c>
      <c r="P39" s="2" t="s">
        <v>1</v>
      </c>
      <c r="Q39" s="2" t="s">
        <v>0</v>
      </c>
      <c r="R39" s="2" t="s">
        <v>0</v>
      </c>
    </row>
    <row r="40" spans="2:18" x14ac:dyDescent="0.25">
      <c r="B40" t="s">
        <v>53</v>
      </c>
      <c r="C40" s="2">
        <v>2</v>
      </c>
      <c r="D40" s="1">
        <v>1</v>
      </c>
      <c r="E40" s="2" t="s">
        <v>1</v>
      </c>
      <c r="F40" s="2" t="s">
        <v>1</v>
      </c>
      <c r="G40" s="2" t="s">
        <v>0</v>
      </c>
      <c r="H40" s="2" t="s">
        <v>0</v>
      </c>
      <c r="I40" s="2" t="s">
        <v>0</v>
      </c>
      <c r="J40" s="2" t="s">
        <v>0</v>
      </c>
      <c r="K40" s="2" t="s">
        <v>0</v>
      </c>
      <c r="M40" s="2" t="s">
        <v>0</v>
      </c>
      <c r="N40" s="2" t="s">
        <v>0</v>
      </c>
      <c r="O40" s="2" t="s">
        <v>0</v>
      </c>
      <c r="P40" s="2" t="s">
        <v>1</v>
      </c>
      <c r="Q40" s="2" t="s">
        <v>1</v>
      </c>
      <c r="R40" s="2" t="s">
        <v>0</v>
      </c>
    </row>
    <row r="41" spans="2:18" x14ac:dyDescent="0.25">
      <c r="B41" t="s">
        <v>54</v>
      </c>
      <c r="C41" s="2">
        <v>5</v>
      </c>
      <c r="D41" s="1">
        <v>3</v>
      </c>
      <c r="E41" s="2" t="s">
        <v>0</v>
      </c>
      <c r="I41" s="2" t="s">
        <v>1</v>
      </c>
      <c r="J41" s="2" t="s">
        <v>1</v>
      </c>
      <c r="K41" s="2" t="s">
        <v>0</v>
      </c>
      <c r="M41" s="2" t="s">
        <v>1</v>
      </c>
      <c r="N41" s="2" t="s">
        <v>0</v>
      </c>
      <c r="O41" s="2" t="s">
        <v>1</v>
      </c>
      <c r="Q41" s="2" t="s">
        <v>0</v>
      </c>
    </row>
    <row r="42" spans="2:18" x14ac:dyDescent="0.25">
      <c r="B42" t="s">
        <v>55</v>
      </c>
      <c r="C42" s="2">
        <v>4</v>
      </c>
      <c r="D42" s="1">
        <v>2</v>
      </c>
      <c r="E42" s="2" t="s">
        <v>0</v>
      </c>
      <c r="F42" s="2" t="s">
        <v>0</v>
      </c>
      <c r="G42" s="2" t="s">
        <v>1</v>
      </c>
      <c r="H42" s="2" t="s">
        <v>1</v>
      </c>
      <c r="J42" s="2" t="s">
        <v>1</v>
      </c>
      <c r="K42" s="2" t="s">
        <v>0</v>
      </c>
      <c r="L42" s="2" t="s">
        <v>1</v>
      </c>
      <c r="M42" s="2" t="s">
        <v>1</v>
      </c>
      <c r="N42" s="2" t="s">
        <v>1</v>
      </c>
      <c r="Q42" s="2" t="s">
        <v>1</v>
      </c>
      <c r="R42" s="2" t="s">
        <v>1</v>
      </c>
    </row>
    <row r="43" spans="2:18" x14ac:dyDescent="0.25">
      <c r="C43" s="6">
        <f>SUM(C26:C42)</f>
        <v>44</v>
      </c>
      <c r="D43" s="6">
        <f>SUM(D26:D42)</f>
        <v>22</v>
      </c>
      <c r="E43" s="6">
        <f>SUMIF(E26:E42,$C$3,$C26:$C42)+SUMIF(E26:E42,$D$3,$D26:$D42)</f>
        <v>41</v>
      </c>
      <c r="F43" s="6">
        <f t="shared" ref="F43:R43" si="2">SUMIF(F26:F42,$C$3,$C26:$C42)+SUMIF(F26:F42,$D$3,$D26:$D42)</f>
        <v>31</v>
      </c>
      <c r="G43" s="6">
        <f t="shared" si="2"/>
        <v>31</v>
      </c>
      <c r="H43" s="6">
        <f t="shared" si="2"/>
        <v>34</v>
      </c>
      <c r="I43" s="6">
        <f t="shared" si="2"/>
        <v>36</v>
      </c>
      <c r="J43" s="6">
        <f t="shared" si="2"/>
        <v>36</v>
      </c>
      <c r="K43" s="6">
        <f t="shared" si="2"/>
        <v>41</v>
      </c>
      <c r="L43" s="6">
        <f t="shared" si="2"/>
        <v>22</v>
      </c>
      <c r="M43" s="6">
        <f t="shared" si="2"/>
        <v>29</v>
      </c>
      <c r="N43" s="6">
        <f t="shared" si="2"/>
        <v>38</v>
      </c>
      <c r="O43" s="6">
        <f t="shared" si="2"/>
        <v>18</v>
      </c>
      <c r="P43" s="6">
        <f t="shared" si="2"/>
        <v>12</v>
      </c>
      <c r="Q43" s="6">
        <f t="shared" si="2"/>
        <v>35</v>
      </c>
      <c r="R43" s="6">
        <f t="shared" si="2"/>
        <v>35</v>
      </c>
    </row>
    <row r="45" spans="2:18" x14ac:dyDescent="0.25">
      <c r="B45" s="4" t="s">
        <v>56</v>
      </c>
      <c r="C45" s="5">
        <f>C14+C24+C43</f>
        <v>100</v>
      </c>
      <c r="D45" s="5">
        <f>D14+D24+D43</f>
        <v>50</v>
      </c>
      <c r="E45" s="5">
        <f t="shared" ref="E45:R45" si="3">E14+E24+E43</f>
        <v>84</v>
      </c>
      <c r="F45" s="5">
        <f t="shared" si="3"/>
        <v>55</v>
      </c>
      <c r="G45" s="5">
        <f t="shared" si="3"/>
        <v>70</v>
      </c>
      <c r="H45" s="5">
        <f t="shared" si="3"/>
        <v>61</v>
      </c>
      <c r="I45" s="5">
        <f t="shared" si="3"/>
        <v>87</v>
      </c>
      <c r="J45" s="5">
        <f t="shared" si="3"/>
        <v>78</v>
      </c>
      <c r="K45" s="5">
        <f t="shared" si="3"/>
        <v>92</v>
      </c>
      <c r="L45" s="5">
        <f t="shared" si="3"/>
        <v>69</v>
      </c>
      <c r="M45" s="5">
        <f t="shared" si="3"/>
        <v>54</v>
      </c>
      <c r="N45" s="5">
        <f t="shared" si="3"/>
        <v>94</v>
      </c>
      <c r="O45" s="5">
        <f t="shared" si="3"/>
        <v>38</v>
      </c>
      <c r="P45" s="5">
        <f t="shared" si="3"/>
        <v>42</v>
      </c>
      <c r="Q45" s="5">
        <f t="shared" si="3"/>
        <v>83</v>
      </c>
      <c r="R45" s="5">
        <f t="shared" si="3"/>
        <v>54</v>
      </c>
    </row>
  </sheetData>
  <sortState xmlns:xlrd2="http://schemas.microsoft.com/office/spreadsheetml/2017/richdata2" ref="T6:W19">
    <sortCondition descending="1" ref="V6:V19"/>
  </sortState>
  <mergeCells count="1">
    <mergeCell ref="T4:W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Točkovanje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Omahen, Julija</cp:lastModifiedBy>
  <dcterms:created xsi:type="dcterms:W3CDTF">2007-11-10T05:13:13Z</dcterms:created>
  <dcterms:modified xsi:type="dcterms:W3CDTF">2025-12-05T13:35:13Z</dcterms:modified>
</cp:coreProperties>
</file>